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Projects\Cart_Abandonment_Analysis\02_Documentation\"/>
    </mc:Choice>
  </mc:AlternateContent>
  <xr:revisionPtr revIDLastSave="0" documentId="13_ncr:1_{15D52BEE-5B5F-4F89-9E4E-826588529F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siness_Questions" sheetId="6" r:id="rId1"/>
    <sheet name="Project_Overview" sheetId="5" r:id="rId2"/>
    <sheet name="Data_Inventory" sheetId="3" r:id="rId3"/>
    <sheet name="Issue_Log" sheetId="4" r:id="rId4"/>
    <sheet name="Metric_Defination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G21" i="3" l="1"/>
  <c r="F21" i="3"/>
  <c r="G22" i="3"/>
  <c r="F22" i="3"/>
  <c r="G23" i="3"/>
  <c r="F23" i="3"/>
  <c r="G24" i="3"/>
  <c r="F24" i="3"/>
  <c r="G25" i="3"/>
  <c r="F25" i="3"/>
  <c r="G26" i="3"/>
  <c r="F26" i="3"/>
  <c r="G27" i="3"/>
  <c r="F27" i="3"/>
  <c r="G28" i="3"/>
  <c r="F28" i="3"/>
  <c r="G29" i="3"/>
  <c r="F29" i="3"/>
  <c r="G30" i="3"/>
  <c r="F30" i="3"/>
  <c r="G31" i="3"/>
  <c r="F31" i="3"/>
  <c r="G32" i="3"/>
  <c r="F32" i="3"/>
  <c r="G33" i="3"/>
  <c r="F33" i="3"/>
  <c r="G34" i="3"/>
  <c r="F34" i="3"/>
  <c r="G35" i="3"/>
  <c r="F35" i="3"/>
  <c r="G36" i="3"/>
  <c r="F36" i="3"/>
  <c r="G37" i="3"/>
  <c r="F37" i="3"/>
  <c r="G38" i="3"/>
  <c r="F38" i="3"/>
  <c r="G39" i="3"/>
  <c r="F39" i="3"/>
  <c r="G40" i="3"/>
  <c r="F40" i="3"/>
  <c r="G41" i="3"/>
  <c r="F41" i="3"/>
  <c r="G42" i="3"/>
  <c r="F42" i="3"/>
  <c r="G43" i="3"/>
  <c r="F43" i="3"/>
  <c r="G44" i="3"/>
  <c r="F44" i="3"/>
  <c r="G45" i="3"/>
  <c r="F45" i="3"/>
  <c r="G46" i="3"/>
  <c r="F46" i="3"/>
  <c r="G47" i="3"/>
  <c r="F47" i="3"/>
  <c r="G48" i="3"/>
  <c r="F48" i="3"/>
  <c r="G49" i="3"/>
  <c r="F49" i="3"/>
  <c r="G50" i="3"/>
  <c r="F50" i="3"/>
  <c r="G51" i="3"/>
  <c r="F51" i="3"/>
  <c r="G52" i="3"/>
  <c r="F52" i="3"/>
  <c r="G53" i="3"/>
  <c r="F53" i="3"/>
  <c r="G54" i="3"/>
  <c r="F54" i="3"/>
  <c r="G55" i="3"/>
  <c r="F55" i="3"/>
  <c r="G56" i="3"/>
  <c r="F56" i="3"/>
  <c r="G57" i="3"/>
  <c r="F57" i="3"/>
  <c r="G58" i="3"/>
  <c r="F58" i="3"/>
  <c r="G59" i="3"/>
  <c r="F59" i="3"/>
</calcChain>
</file>

<file path=xl/sharedStrings.xml><?xml version="1.0" encoding="utf-8"?>
<sst xmlns="http://schemas.openxmlformats.org/spreadsheetml/2006/main" count="354" uniqueCount="182">
  <si>
    <t>Issue ID</t>
  </si>
  <si>
    <t>Issue Description</t>
  </si>
  <si>
    <t>Table</t>
  </si>
  <si>
    <t>Column</t>
  </si>
  <si>
    <t>Total Row Count</t>
  </si>
  <si>
    <t>Total Rows</t>
  </si>
  <si>
    <t>Missing Rows</t>
  </si>
  <si>
    <t>Missing Count</t>
  </si>
  <si>
    <t>Table Name</t>
  </si>
  <si>
    <t>Column 1</t>
  </si>
  <si>
    <t>Column 2</t>
  </si>
  <si>
    <t>Column 3</t>
  </si>
  <si>
    <t>Column 4</t>
  </si>
  <si>
    <t>Non NULL/Blank</t>
  </si>
  <si>
    <t>NULL/Blank</t>
  </si>
  <si>
    <t>NULL Percentage</t>
  </si>
  <si>
    <t>Column 5</t>
  </si>
  <si>
    <t>Data Quality</t>
  </si>
  <si>
    <t>Datatype</t>
  </si>
  <si>
    <t>Status</t>
  </si>
  <si>
    <t>Tables &amp; Columns</t>
  </si>
  <si>
    <t>cart_items</t>
  </si>
  <si>
    <t>events</t>
  </si>
  <si>
    <t>products</t>
  </si>
  <si>
    <t>sessions</t>
  </si>
  <si>
    <t>transactions</t>
  </si>
  <si>
    <t>visitors</t>
  </si>
  <si>
    <t>cart_item_id</t>
  </si>
  <si>
    <t>session_id</t>
  </si>
  <si>
    <t>visitor_id</t>
  </si>
  <si>
    <t>product_id</t>
  </si>
  <si>
    <t>added_at</t>
  </si>
  <si>
    <t>quantity</t>
  </si>
  <si>
    <t>cart_item_status</t>
  </si>
  <si>
    <t>Column 6</t>
  </si>
  <si>
    <t>Column 7</t>
  </si>
  <si>
    <t>event_id</t>
  </si>
  <si>
    <t>event_timestamp</t>
  </si>
  <si>
    <t>sequence_step</t>
  </si>
  <si>
    <t>event_type</t>
  </si>
  <si>
    <t>transaction_id</t>
  </si>
  <si>
    <t>Column 8</t>
  </si>
  <si>
    <t>product_name</t>
  </si>
  <si>
    <t>category</t>
  </si>
  <si>
    <t>brand</t>
  </si>
  <si>
    <t>unit_cost</t>
  </si>
  <si>
    <t>unit_price</t>
  </si>
  <si>
    <t>active_flag</t>
  </si>
  <si>
    <t>session_start</t>
  </si>
  <si>
    <t>device_type</t>
  </si>
  <si>
    <t>traffic_source</t>
  </si>
  <si>
    <t>session_status</t>
  </si>
  <si>
    <t>transaction_date</t>
  </si>
  <si>
    <t>order_value</t>
  </si>
  <si>
    <t>payment_method</t>
  </si>
  <si>
    <t>first_seen_date</t>
  </si>
  <si>
    <t>country</t>
  </si>
  <si>
    <t>Primary Key</t>
  </si>
  <si>
    <t>Text</t>
  </si>
  <si>
    <t>Date</t>
  </si>
  <si>
    <t>Decimal</t>
  </si>
  <si>
    <t>Datetime</t>
  </si>
  <si>
    <t>Whole Number</t>
  </si>
  <si>
    <t>Primary Keys</t>
  </si>
  <si>
    <r>
      <t xml:space="preserve">385 </t>
    </r>
    <r>
      <rPr>
        <i/>
        <sz val="11"/>
        <color theme="1"/>
        <rFont val="Calibri"/>
        <family val="2"/>
        <scheme val="minor"/>
      </rPr>
      <t xml:space="preserve">transaction </t>
    </r>
    <r>
      <rPr>
        <sz val="11"/>
        <color theme="1"/>
        <rFont val="Calibri"/>
        <family val="2"/>
        <scheme val="minor"/>
      </rPr>
      <t xml:space="preserve">events out of 830 don't have any </t>
    </r>
    <r>
      <rPr>
        <i/>
        <sz val="11"/>
        <color theme="1"/>
        <rFont val="Calibri"/>
        <family val="2"/>
        <scheme val="minor"/>
      </rPr>
      <t xml:space="preserve">addtocart </t>
    </r>
    <r>
      <rPr>
        <sz val="11"/>
        <color theme="1"/>
        <rFont val="Calibri"/>
        <family val="2"/>
        <scheme val="minor"/>
      </rPr>
      <t>event.</t>
    </r>
  </si>
  <si>
    <t>Not Resolved</t>
  </si>
  <si>
    <t>Notes</t>
  </si>
  <si>
    <t>Analyze both of them separately.</t>
  </si>
  <si>
    <t>Which products have the highest total cart value?</t>
  </si>
  <si>
    <t>Which traffic sources have a purchase conversion rate above 20%?</t>
  </si>
  <si>
    <t>Which product categories have the highest average order value?</t>
  </si>
  <si>
    <t>Which countries generate the highest average revenue per visitor?</t>
  </si>
  <si>
    <t>Which products have cart activity but no recorded purchase activity?</t>
  </si>
  <si>
    <t>How does monthly revenue change compared with the previous month?</t>
  </si>
  <si>
    <t>What is the revenue ranking of each traffic source?</t>
  </si>
  <si>
    <t>Which devices have the most abandoned cart sessions?</t>
  </si>
  <si>
    <t>Which visitors have spent more than the average spending per visitor?</t>
  </si>
  <si>
    <t>Which products are priced above their category's average price?</t>
  </si>
  <si>
    <t>Business Questions</t>
  </si>
  <si>
    <t>Project Overview</t>
  </si>
  <si>
    <t>Project objective</t>
  </si>
  <si>
    <t>Analyze e-commerce browsing, cart activity, purchases, products, visitors, and traffic sources to identify conversion patterns and recorded cart abandonment.</t>
  </si>
  <si>
    <t>Business context</t>
  </si>
  <si>
    <t>An e-commerce business wants to understand how visitors move through browsing and cart activity, which traffic sources and devices perform better, and how revenue and purchasing behaviour vary.</t>
  </si>
  <si>
    <t>Dataset</t>
  </si>
  <si>
    <t>Retail Rocket e-commerce dataset, prepared into six related tables for this portfolio analysis.</t>
  </si>
  <si>
    <t>Database</t>
  </si>
  <si>
    <t>MySQL database: cart_abandonment_analysis</t>
  </si>
  <si>
    <t>Tools used</t>
  </si>
  <si>
    <t>MySQL Workbench; Microsoft Excel for documentation; Power BI for data modelling, DAX measures, interactive visuals, and reporting.</t>
  </si>
  <si>
    <t>Data model</t>
  </si>
  <si>
    <t>Six tables: visitors, sessions, events, cart_items, products, and transactions. Tables are related through visitor, session, and product identifiers where appropriate.</t>
  </si>
  <si>
    <t>Analysis scope</t>
  </si>
  <si>
    <t>Cart activity and recorded abandonment; session-to-purchase conversion; product and category activity; customer and traffic-source patterns; revenue and monthly trends.</t>
  </si>
  <si>
    <t>SQL techniques</t>
  </si>
  <si>
    <t>Filtering, aggregation, joins, subqueries/CTEs, conditional logic, date analysis, and window functions including LAG and DENSE_RANK.</t>
  </si>
  <si>
    <t>Power BI deliverable</t>
  </si>
  <si>
    <t>Five report pages: Executive Overview; Cart &amp; Conversion; Product Analysis; Customer &amp; Traffic; Revenue &amp; Trends.</t>
  </si>
  <si>
    <t>Reporting currency assumption</t>
  </si>
  <si>
    <t>The dataset does not specify a source currency. USD ($) is adopted as an illustrative reporting assumption; values are not verified real-world financial amounts.</t>
  </si>
  <si>
    <t>Key analytical limitation</t>
  </si>
  <si>
    <t>Some transaction events have no recorded add-to-cart event. Recorded events may not capture every customer action, so the cart abandonment metric should be interpreted as event-based rather than definitive proof of actual abandonment.</t>
  </si>
  <si>
    <t>Data quality approach</t>
  </si>
  <si>
    <t>Data inventory, row-count and key checks, missing-value inspection, event-pattern investigation, and issue tracking are documented in the existing Data_Inventory and Issue_Log sheets.</t>
  </si>
  <si>
    <t>Project status</t>
  </si>
  <si>
    <t>SQL analysis and Power BI report development, KPI validation, and visual polishing are complete. Final documentation and portfolio packaging remain in progress.</t>
  </si>
  <si>
    <t>Intended audience</t>
  </si>
  <si>
    <t>Hiring managers and reviewers evaluating practical SQL, data modelling, data-quality reasoning, DAX, and Power BI reporting skills.</t>
  </si>
  <si>
    <t>METRIC DEFINITIONS</t>
  </si>
  <si>
    <t>Metric</t>
  </si>
  <si>
    <t>Definition / calculation</t>
  </si>
  <si>
    <t>Primary table(s)</t>
  </si>
  <si>
    <t>Interpretation / notes</t>
  </si>
  <si>
    <t>Total Revenue</t>
  </si>
  <si>
    <t>Sum of transactions.order_value.</t>
  </si>
  <si>
    <t>Reported in USD ($) as an illustrative assumption; the source dataset does not specify currency.</t>
  </si>
  <si>
    <t>Total Transactions</t>
  </si>
  <si>
    <t>Distinct count of transaction_id.</t>
  </si>
  <si>
    <t>Counts recorded transaction records.</t>
  </si>
  <si>
    <t>Average Order Value (AOV)</t>
  </si>
  <si>
    <t>Total Revenue divided by Total Transactions.</t>
  </si>
  <si>
    <t>Average recorded order value.</t>
  </si>
  <si>
    <t>Highest Order Value</t>
  </si>
  <si>
    <t>Maximum transactions.order_value.</t>
  </si>
  <si>
    <t>Largest recorded order value.</t>
  </si>
  <si>
    <t>Total Sessions</t>
  </si>
  <si>
    <t>Distinct count of session_id.</t>
  </si>
  <si>
    <t>Counts recorded sessions.</t>
  </si>
  <si>
    <t>Purchase Sessions</t>
  </si>
  <si>
    <t>Distinct sessions with an events.event_type of 'transaction'.</t>
  </si>
  <si>
    <t>Event-based definition of a purchase session.</t>
  </si>
  <si>
    <t>Purchase Conversion Rate</t>
  </si>
  <si>
    <t>Purchase Sessions divided by Total Sessions.</t>
  </si>
  <si>
    <t>events, sessions</t>
  </si>
  <si>
    <t>Uses all recorded sessions as the denominator.</t>
  </si>
  <si>
    <t>Cart Sessions</t>
  </si>
  <si>
    <t>Distinct sessions with an events.event_type of 'addtocart'.</t>
  </si>
  <si>
    <t>Counts sessions with recorded add-to-cart activity, not the number of add-to-cart events.</t>
  </si>
  <si>
    <t>Abandoned Cart Sessions</t>
  </si>
  <si>
    <t>Sessions with recorded add-to-cart activity and no recorded transaction event.</t>
  </si>
  <si>
    <t>Event-based proxy; missing or incomplete tracking may affect the result.</t>
  </si>
  <si>
    <t>Cart Abandonment Rate</t>
  </si>
  <si>
    <t>Abandoned Cart Sessions divided by Cart Sessions.</t>
  </si>
  <si>
    <t>Should be described as recorded-event cart abandonment, not definitive proof of actual abandonment.</t>
  </si>
  <si>
    <t>Total Visitors (with sessions)</t>
  </si>
  <si>
    <t>Distinct visitor_id values in sessions.</t>
  </si>
  <si>
    <t>This measure counts visitors who have at least one recorded session; it may be lower than the visitors dimension row count.</t>
  </si>
  <si>
    <t>Purchasing Visitors</t>
  </si>
  <si>
    <t>Distinct visitor_id values in transactions.</t>
  </si>
  <si>
    <t>Counts visitors with at least one recorded transaction.</t>
  </si>
  <si>
    <t>Visitor Purchase Rate</t>
  </si>
  <si>
    <t>Purchasing Visitors divided by Total Visitors (with sessions).</t>
  </si>
  <si>
    <t>transactions, sessions</t>
  </si>
  <si>
    <t>Visitor-level rate; different from session-level purchase conversion.</t>
  </si>
  <si>
    <t>Average Sessions per Visitor</t>
  </si>
  <si>
    <t>Total Sessions divided by Total Visitors (with sessions).</t>
  </si>
  <si>
    <t>Average recorded sessions per visitor who has a session.</t>
  </si>
  <si>
    <t>Revenue per Purchasing Visitor</t>
  </si>
  <si>
    <t>Total Revenue divided by distinct visitors in transactions.</t>
  </si>
  <si>
    <t>Average recorded revenue per visitor with at least one transaction.</t>
  </si>
  <si>
    <t>Product Cart Activity</t>
  </si>
  <si>
    <t>Count of rows in cart_items.</t>
  </si>
  <si>
    <t>Counts cart-item records; it is not necessarily a count of unique sessions or units.</t>
  </si>
  <si>
    <t>Products with Cart Activity</t>
  </si>
  <si>
    <t>Distinct product_id values in cart_items.</t>
  </si>
  <si>
    <t>Counts distinct products appearing in cart records.</t>
  </si>
  <si>
    <t>Average Product Price</t>
  </si>
  <si>
    <t>Average of products.unit_price.</t>
  </si>
  <si>
    <t>Product catalogue price average, not a sales-weighted average.</t>
  </si>
  <si>
    <t>Average Product Cost</t>
  </si>
  <si>
    <t>Average of products.unit_cost.</t>
  </si>
  <si>
    <t>Product catalogue cost average.</t>
  </si>
  <si>
    <t>Average Product Profit Margin</t>
  </si>
  <si>
    <t>Average across products of (unit_price - unit_cost) divided by unit_price.</t>
  </si>
  <si>
    <t>Unweighted mean of product-level margins; not realized profit margin from transactions.</t>
  </si>
  <si>
    <t>Revenue by Traffic Source</t>
  </si>
  <si>
    <t>Sum of transaction order values, grouped by the related session traffic_source.</t>
  </si>
  <si>
    <t>Revenue attribution follows the session relationship; the transactions table itself does not contain traffic_source.</t>
  </si>
  <si>
    <t>Revenue by Product / Category</t>
  </si>
  <si>
    <t>Not calculated from transactions in the current model.</t>
  </si>
  <si>
    <t>transactions, products, cart_items</t>
  </si>
  <si>
    <t>Transactions have no product_id and there is no defensible transaction-to-product bridge in the current model; do not interpret cart activity as product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</si>
</sst>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4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9F7FC3-266D-4AA2-9951-EE76E0EEC5BE}" name="Table1" displayName="Table1" ref="A1:A11" totalsRowShown="0">
  <autoFilter ref="A1:A11" xr:uid="{D89F7FC3-266D-4AA2-9951-EE76E0EEC5BE}"/>
  <tableColumns count="1">
    <tableColumn id="1" xr3:uid="{08292275-D856-4CEB-9B7F-9B3C9E4CF07D}" name="Business Ques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D03FE1-9059-45F4-B504-AF123C7A67CC}" name="Table5" displayName="Table5" ref="A2:B15" totalsRowShown="0" dataDxfId="0">
  <autoFilter ref="A2:B15" xr:uid="{CCD03FE1-9059-45F4-B504-AF123C7A67CC}"/>
  <tableColumns count="2">
    <tableColumn id="1" xr3:uid="{64AA4B44-D71A-475C-A787-17DAFEDC6398}" name="Project objective" dataDxfId="2"/>
    <tableColumn id="2" xr3:uid="{0F351999-8927-41A3-A4CA-A860B3017B74}" name="Analyze e-commerce browsing, cart activity, purchases, products, visitors, and traffic sources to identify conversion patterns and recorded cart abandonment.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C49D30-D746-4BAF-9115-054455FD8E63}" name="Table7" displayName="Table7" ref="D11:E17" totalsRowShown="0" headerRowDxfId="44" dataDxfId="43" tableBorderDxfId="42">
  <autoFilter ref="D11:E17" xr:uid="{F2C49D30-D746-4BAF-9115-054455FD8E63}"/>
  <tableColumns count="2">
    <tableColumn id="1" xr3:uid="{8397025F-B420-472F-94F2-4A4A21476229}" name="Table" dataDxfId="41"/>
    <tableColumn id="2" xr3:uid="{AAE7659E-4404-4CDF-9E74-98840F3FDF61}" name="Primary Key" dataDxfId="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1D1AAC-DBE4-4239-8502-9E5BF0E67668}" name="Table4" displayName="Table4" ref="A2:I8" totalsRowShown="0" headerRowDxfId="39" dataDxfId="38">
  <autoFilter ref="A2:I8" xr:uid="{631D1AAC-DBE4-4239-8502-9E5BF0E67668}"/>
  <tableColumns count="9">
    <tableColumn id="1" xr3:uid="{4C0CABBC-AA19-4CB0-A846-BF3007B8ADED}" name="Table" dataDxfId="37"/>
    <tableColumn id="2" xr3:uid="{311A472C-D6DD-4158-820A-75A9C0CED7FC}" name="Column 1" dataDxfId="36"/>
    <tableColumn id="3" xr3:uid="{82F780C4-687E-4F80-84BC-F24D6C06FFFF}" name="Column 2" dataDxfId="35"/>
    <tableColumn id="4" xr3:uid="{6E4E1A8F-AA09-47EB-9BDD-CA4603121FBC}" name="Column 3" dataDxfId="34"/>
    <tableColumn id="5" xr3:uid="{3A977E58-A746-484B-9098-8AF244E61357}" name="Column 4" dataDxfId="33"/>
    <tableColumn id="6" xr3:uid="{097A7F98-85A5-4C46-94E5-EAFFF0812A97}" name="Column 5" dataDxfId="32"/>
    <tableColumn id="7" xr3:uid="{4E485FFF-BC28-4481-926A-2C8607A7549E}" name="Column 6" dataDxfId="31"/>
    <tableColumn id="8" xr3:uid="{CEF84A2C-6B4E-432E-AFF1-9B8A2AE45B0A}" name="Column 7" dataDxfId="30"/>
    <tableColumn id="9" xr3:uid="{2F44E53C-D850-4FFA-A6AD-BA71FD969972}" name="Column 8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485FC4-E9AC-434A-8879-83F7BB6287C7}" name="Table8" displayName="Table8" ref="A11:B17" totalsRowShown="0" headerRowDxfId="28" dataDxfId="27">
  <autoFilter ref="A11:B17" xr:uid="{2F485FC4-E9AC-434A-8879-83F7BB6287C7}"/>
  <tableColumns count="2">
    <tableColumn id="1" xr3:uid="{0E662E3E-F82E-4C89-999A-5DAD022EFFED}" name="Table" dataDxfId="26"/>
    <tableColumn id="2" xr3:uid="{A01615A3-9914-45E4-8701-09371EF2672A}" name="Total Row Count" dataDxfId="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CDAEAD-CE94-4CB3-9E26-D224227E65C6}" name="Table9" displayName="Table9" ref="A20:G59" totalsRowShown="0" headerRowDxfId="24" dataDxfId="23">
  <autoFilter ref="A20:G59" xr:uid="{3BCDAEAD-CE94-4CB3-9E26-D224227E65C6}"/>
  <tableColumns count="7">
    <tableColumn id="1" xr3:uid="{9B6E79A0-2440-4FB1-B022-438B98663E1F}" name="Table Name" dataDxfId="22"/>
    <tableColumn id="2" xr3:uid="{500CEC1E-905D-4865-9815-2D4B9921777F}" name="Column" dataDxfId="21"/>
    <tableColumn id="3" xr3:uid="{34639275-8366-4398-9742-248D87091623}" name="Datatype" dataDxfId="20"/>
    <tableColumn id="4" xr3:uid="{F95A6395-0B77-489E-BE08-21F63D43FD4B}" name="Total Rows" dataDxfId="19">
      <calculatedColumnFormula>_xlfn.XLOOKUP(Table9[[#This Row],[Table Name]],Table8[Table],Table8[Total Row Count],"",0)</calculatedColumnFormula>
    </tableColumn>
    <tableColumn id="5" xr3:uid="{C9E0C94E-F01B-40CC-84DA-D86848A71510}" name="NULL/Blank" dataDxfId="18"/>
    <tableColumn id="6" xr3:uid="{9C0B1360-9369-40DD-A0C4-D2DF3B144281}" name="Non NULL/Blank" dataDxfId="17">
      <calculatedColumnFormula>Table9[[#This Row],[Total Rows]]-Table9[[#This Row],[NULL/Blank]]</calculatedColumnFormula>
    </tableColumn>
    <tableColumn id="7" xr3:uid="{E2A18E34-1243-4729-9F90-4E1B920668D3}" name="NULL Percentage" dataDxfId="16">
      <calculatedColumnFormula>ROUND((Table9[[#This Row],[NULL/Blank]]/Table9[[#This Row],[Total Rows]])*100,2)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3FAB31-65FB-4D1B-BEA7-AA2FBE27C771}" name="Table2" displayName="Table2" ref="G11:I12" totalsRowShown="0" headerRowDxfId="15" dataDxfId="14">
  <autoFilter ref="G11:I12" xr:uid="{113FAB31-65FB-4D1B-BEA7-AA2FBE27C771}"/>
  <tableColumns count="3">
    <tableColumn id="1" xr3:uid="{C27B16F2-ACCB-43BA-8F23-D9713F18116B}" name="Table" dataDxfId="13"/>
    <tableColumn id="2" xr3:uid="{0CF59533-BAD7-4C7B-82D4-C3EA2EF8E027}" name="Column" dataDxfId="12"/>
    <tableColumn id="3" xr3:uid="{7CED1B62-5941-4C36-A441-3AC951814C0F}" name="Missing Count" dataDxfId="1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AD590B-E130-4D2C-80EE-A297F96053BD}" name="Table3" displayName="Table3" ref="A1:F6" totalsRowShown="0" headerRowDxfId="10" dataDxfId="9">
  <autoFilter ref="A1:F6" xr:uid="{DCAD590B-E130-4D2C-80EE-A297F96053BD}"/>
  <tableColumns count="6">
    <tableColumn id="1" xr3:uid="{29DD2D51-417B-4C93-8062-9DF9356A35FD}" name="Issue ID" dataDxfId="8">
      <calculatedColumnFormula>A1+1</calculatedColumnFormula>
    </tableColumn>
    <tableColumn id="2" xr3:uid="{4FAD7155-5757-4508-A6ED-8755F6B8F49B}" name="Table" dataDxfId="7"/>
    <tableColumn id="3" xr3:uid="{2217775D-E81E-424B-8D95-547E72181AB2}" name="Column" dataDxfId="6"/>
    <tableColumn id="4" xr3:uid="{50986720-3935-4612-9375-D342F8F805B4}" name="Issue Description" dataDxfId="5"/>
    <tableColumn id="5" xr3:uid="{10F47573-432E-407C-B8C5-E190CAC7582D}" name="Status" dataDxfId="4"/>
    <tableColumn id="6" xr3:uid="{31858624-4186-48E0-935E-9A6553F6AC4B}" name="Notes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11B470-D926-4020-B5B8-F66E9B10A18D}" name="Table6" displayName="Table6" ref="A2:D24" totalsRowShown="0">
  <autoFilter ref="A2:D24" xr:uid="{B911B470-D926-4020-B5B8-F66E9B10A18D}"/>
  <tableColumns count="4">
    <tableColumn id="1" xr3:uid="{159FE127-B405-4BD9-8A7C-721E3B24B4EE}" name="Metric"/>
    <tableColumn id="2" xr3:uid="{9800250B-E1E5-43C8-8754-52C276A90F48}" name="Definition / calculation"/>
    <tableColumn id="3" xr3:uid="{6BEE0651-A688-4F66-9167-889B29157F8D}" name="Primary table(s)"/>
    <tableColumn id="4" xr3:uid="{39112C68-F15E-4F5F-8BDD-F54EC78A6195}" name="Interpretation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D367-7B59-4970-973C-B0EDFA4AD7FB}">
  <dimension ref="A1:A11"/>
  <sheetViews>
    <sheetView tabSelected="1" workbookViewId="0"/>
  </sheetViews>
  <sheetFormatPr defaultRowHeight="15" x14ac:dyDescent="0.25"/>
  <cols>
    <col min="1" max="1" width="66.5703125" bestFit="1" customWidth="1"/>
  </cols>
  <sheetData>
    <row r="1" spans="1:1" x14ac:dyDescent="0.25">
      <c r="A1" t="s">
        <v>78</v>
      </c>
    </row>
    <row r="2" spans="1:1" x14ac:dyDescent="0.25">
      <c r="A2" t="s">
        <v>68</v>
      </c>
    </row>
    <row r="3" spans="1:1" x14ac:dyDescent="0.25">
      <c r="A3" t="s">
        <v>69</v>
      </c>
    </row>
    <row r="4" spans="1:1" x14ac:dyDescent="0.25">
      <c r="A4" t="s">
        <v>70</v>
      </c>
    </row>
    <row r="5" spans="1:1" x14ac:dyDescent="0.25">
      <c r="A5" t="s">
        <v>71</v>
      </c>
    </row>
    <row r="6" spans="1:1" x14ac:dyDescent="0.25">
      <c r="A6" t="s">
        <v>72</v>
      </c>
    </row>
    <row r="7" spans="1:1" x14ac:dyDescent="0.25">
      <c r="A7" t="s">
        <v>73</v>
      </c>
    </row>
    <row r="8" spans="1:1" x14ac:dyDescent="0.25">
      <c r="A8" t="s">
        <v>74</v>
      </c>
    </row>
    <row r="9" spans="1:1" x14ac:dyDescent="0.25">
      <c r="A9" t="s">
        <v>75</v>
      </c>
    </row>
    <row r="10" spans="1:1" x14ac:dyDescent="0.25">
      <c r="A10" t="s">
        <v>76</v>
      </c>
    </row>
    <row r="11" spans="1:1" x14ac:dyDescent="0.25">
      <c r="A11" t="s">
        <v>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A54A-4285-4649-9E5E-DC950CA9ACAD}">
  <dimension ref="A1:B15"/>
  <sheetViews>
    <sheetView workbookViewId="0">
      <selection sqref="A1:B1"/>
    </sheetView>
  </sheetViews>
  <sheetFormatPr defaultRowHeight="15" x14ac:dyDescent="0.25"/>
  <cols>
    <col min="1" max="1" width="29" bestFit="1" customWidth="1"/>
    <col min="2" max="2" width="143.7109375" customWidth="1"/>
    <col min="5" max="5" width="66.5703125" bestFit="1" customWidth="1"/>
  </cols>
  <sheetData>
    <row r="1" spans="1:2" ht="18.75" x14ac:dyDescent="0.25">
      <c r="A1" s="4" t="s">
        <v>79</v>
      </c>
      <c r="B1" s="4"/>
    </row>
    <row r="2" spans="1:2" x14ac:dyDescent="0.25">
      <c r="A2" t="s">
        <v>80</v>
      </c>
      <c r="B2" t="s">
        <v>81</v>
      </c>
    </row>
    <row r="3" spans="1:2" ht="30" x14ac:dyDescent="0.25">
      <c r="A3" s="5" t="s">
        <v>82</v>
      </c>
      <c r="B3" s="5" t="s">
        <v>83</v>
      </c>
    </row>
    <row r="4" spans="1:2" x14ac:dyDescent="0.25">
      <c r="A4" s="5" t="s">
        <v>84</v>
      </c>
      <c r="B4" s="5" t="s">
        <v>85</v>
      </c>
    </row>
    <row r="5" spans="1:2" x14ac:dyDescent="0.25">
      <c r="A5" s="5" t="s">
        <v>86</v>
      </c>
      <c r="B5" s="5" t="s">
        <v>87</v>
      </c>
    </row>
    <row r="6" spans="1:2" x14ac:dyDescent="0.25">
      <c r="A6" s="5" t="s">
        <v>88</v>
      </c>
      <c r="B6" s="5" t="s">
        <v>89</v>
      </c>
    </row>
    <row r="7" spans="1:2" ht="30" x14ac:dyDescent="0.25">
      <c r="A7" s="5" t="s">
        <v>90</v>
      </c>
      <c r="B7" s="5" t="s">
        <v>91</v>
      </c>
    </row>
    <row r="8" spans="1:2" ht="30" x14ac:dyDescent="0.25">
      <c r="A8" s="5" t="s">
        <v>92</v>
      </c>
      <c r="B8" s="5" t="s">
        <v>93</v>
      </c>
    </row>
    <row r="9" spans="1:2" x14ac:dyDescent="0.25">
      <c r="A9" s="5" t="s">
        <v>94</v>
      </c>
      <c r="B9" s="5" t="s">
        <v>95</v>
      </c>
    </row>
    <row r="10" spans="1:2" x14ac:dyDescent="0.25">
      <c r="A10" s="5" t="s">
        <v>96</v>
      </c>
      <c r="B10" s="5" t="s">
        <v>97</v>
      </c>
    </row>
    <row r="11" spans="1:2" ht="30" x14ac:dyDescent="0.25">
      <c r="A11" s="5" t="s">
        <v>98</v>
      </c>
      <c r="B11" s="5" t="s">
        <v>99</v>
      </c>
    </row>
    <row r="12" spans="1:2" ht="30" x14ac:dyDescent="0.25">
      <c r="A12" s="5" t="s">
        <v>100</v>
      </c>
      <c r="B12" s="5" t="s">
        <v>101</v>
      </c>
    </row>
    <row r="13" spans="1:2" ht="30" x14ac:dyDescent="0.25">
      <c r="A13" s="5" t="s">
        <v>102</v>
      </c>
      <c r="B13" s="5" t="s">
        <v>103</v>
      </c>
    </row>
    <row r="14" spans="1:2" ht="30" x14ac:dyDescent="0.25">
      <c r="A14" s="5" t="s">
        <v>104</v>
      </c>
      <c r="B14" s="5" t="s">
        <v>105</v>
      </c>
    </row>
    <row r="15" spans="1:2" x14ac:dyDescent="0.25">
      <c r="A15" s="5" t="s">
        <v>106</v>
      </c>
      <c r="B15" s="5" t="s">
        <v>107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D125-72D9-40A8-A5F5-AA08A40EAFB9}">
  <dimension ref="A1:I59"/>
  <sheetViews>
    <sheetView zoomScale="90" zoomScaleNormal="90" workbookViewId="0">
      <selection activeCell="B12" sqref="B12:B17"/>
    </sheetView>
  </sheetViews>
  <sheetFormatPr defaultRowHeight="15" x14ac:dyDescent="0.25"/>
  <cols>
    <col min="1" max="1" width="16.42578125" style="3" bestFit="1" customWidth="1"/>
    <col min="2" max="2" width="20.5703125" style="3" bestFit="1" customWidth="1"/>
    <col min="3" max="3" width="15" style="3" bestFit="1" customWidth="1"/>
    <col min="4" max="4" width="15.5703125" style="3" bestFit="1" customWidth="1"/>
    <col min="5" max="5" width="16.85546875" style="3" bestFit="1" customWidth="1"/>
    <col min="6" max="6" width="20.5703125" style="3" bestFit="1" customWidth="1"/>
    <col min="7" max="7" width="21.28515625" style="3" bestFit="1" customWidth="1"/>
    <col min="8" max="8" width="15.85546875" style="3" bestFit="1" customWidth="1"/>
    <col min="9" max="9" width="18.28515625" style="3" bestFit="1" customWidth="1"/>
    <col min="10" max="10" width="19.140625" style="3" bestFit="1" customWidth="1"/>
    <col min="11" max="11" width="13.28515625" style="3" bestFit="1" customWidth="1"/>
    <col min="12" max="12" width="20" style="3" bestFit="1" customWidth="1"/>
    <col min="13" max="13" width="12.85546875" style="3" bestFit="1" customWidth="1"/>
    <col min="14" max="16" width="12.5703125" style="3" bestFit="1" customWidth="1"/>
    <col min="17" max="17" width="24.7109375" style="3" bestFit="1" customWidth="1"/>
    <col min="18" max="18" width="13.85546875" style="3" bestFit="1" customWidth="1"/>
    <col min="19" max="19" width="25.85546875" style="3" bestFit="1" customWidth="1"/>
    <col min="20" max="20" width="16.7109375" style="3" bestFit="1" customWidth="1"/>
    <col min="21" max="21" width="21.140625" style="3" bestFit="1" customWidth="1"/>
    <col min="22" max="22" width="19.28515625" style="3" bestFit="1" customWidth="1"/>
    <col min="23" max="23" width="24.140625" style="3" bestFit="1" customWidth="1"/>
    <col min="24" max="24" width="17.7109375" style="3" bestFit="1" customWidth="1"/>
    <col min="25" max="25" width="23.85546875" style="3" bestFit="1" customWidth="1"/>
    <col min="26" max="26" width="18.42578125" style="3" bestFit="1" customWidth="1"/>
    <col min="27" max="27" width="21.5703125" style="3" bestFit="1" customWidth="1"/>
    <col min="28" max="28" width="23.140625" style="3" bestFit="1" customWidth="1"/>
    <col min="29" max="29" width="20.28515625" style="3" bestFit="1" customWidth="1"/>
    <col min="30" max="30" width="22.5703125" style="3" bestFit="1" customWidth="1"/>
    <col min="31" max="31" width="23.5703125" style="3" bestFit="1" customWidth="1"/>
    <col min="32" max="16384" width="9.140625" style="3"/>
  </cols>
  <sheetData>
    <row r="1" spans="1:9" ht="18.75" x14ac:dyDescent="0.25">
      <c r="A1" s="4" t="s">
        <v>20</v>
      </c>
      <c r="B1" s="4"/>
    </row>
    <row r="2" spans="1:9" x14ac:dyDescent="0.25">
      <c r="A2" s="3" t="s">
        <v>2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16</v>
      </c>
      <c r="G2" s="3" t="s">
        <v>34</v>
      </c>
      <c r="H2" s="3" t="s">
        <v>35</v>
      </c>
      <c r="I2" s="3" t="s">
        <v>41</v>
      </c>
    </row>
    <row r="3" spans="1:9" x14ac:dyDescent="0.25">
      <c r="A3" s="1" t="s">
        <v>21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s="1" t="s">
        <v>32</v>
      </c>
      <c r="H3" s="1" t="s">
        <v>33</v>
      </c>
      <c r="I3" s="1"/>
    </row>
    <row r="4" spans="1:9" x14ac:dyDescent="0.25">
      <c r="A4" s="1" t="s">
        <v>22</v>
      </c>
      <c r="B4" t="s">
        <v>36</v>
      </c>
      <c r="C4" t="s">
        <v>28</v>
      </c>
      <c r="D4" t="s">
        <v>29</v>
      </c>
      <c r="E4" t="s">
        <v>37</v>
      </c>
      <c r="F4" t="s">
        <v>38</v>
      </c>
      <c r="G4" t="s">
        <v>39</v>
      </c>
      <c r="H4" t="s">
        <v>30</v>
      </c>
      <c r="I4" s="1" t="s">
        <v>40</v>
      </c>
    </row>
    <row r="5" spans="1:9" x14ac:dyDescent="0.25">
      <c r="A5" s="1" t="s">
        <v>23</v>
      </c>
      <c r="B5" t="s">
        <v>30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s="1"/>
    </row>
    <row r="6" spans="1:9" x14ac:dyDescent="0.25">
      <c r="A6" s="1" t="s">
        <v>24</v>
      </c>
      <c r="B6" t="s">
        <v>28</v>
      </c>
      <c r="C6" t="s">
        <v>29</v>
      </c>
      <c r="D6" t="s">
        <v>48</v>
      </c>
      <c r="E6" t="s">
        <v>49</v>
      </c>
      <c r="F6" t="s">
        <v>50</v>
      </c>
      <c r="G6" t="s">
        <v>51</v>
      </c>
      <c r="H6" s="1"/>
      <c r="I6" s="1"/>
    </row>
    <row r="7" spans="1:9" x14ac:dyDescent="0.25">
      <c r="A7" s="1" t="s">
        <v>25</v>
      </c>
      <c r="B7" t="s">
        <v>40</v>
      </c>
      <c r="C7" t="s">
        <v>28</v>
      </c>
      <c r="D7" t="s">
        <v>29</v>
      </c>
      <c r="E7" t="s">
        <v>52</v>
      </c>
      <c r="F7" t="s">
        <v>53</v>
      </c>
      <c r="G7" t="s">
        <v>54</v>
      </c>
      <c r="H7" s="1"/>
      <c r="I7" s="1"/>
    </row>
    <row r="8" spans="1:9" x14ac:dyDescent="0.25">
      <c r="A8" s="1" t="s">
        <v>26</v>
      </c>
      <c r="B8" t="s">
        <v>29</v>
      </c>
      <c r="C8" t="s">
        <v>55</v>
      </c>
      <c r="D8" t="s">
        <v>49</v>
      </c>
      <c r="E8" t="s">
        <v>50</v>
      </c>
      <c r="F8" t="s">
        <v>56</v>
      </c>
      <c r="G8" s="1"/>
      <c r="H8" s="1"/>
      <c r="I8" s="1"/>
    </row>
    <row r="10" spans="1:9" ht="18.75" x14ac:dyDescent="0.25">
      <c r="A10" s="4" t="s">
        <v>5</v>
      </c>
      <c r="B10" s="4"/>
      <c r="D10" s="4" t="s">
        <v>63</v>
      </c>
      <c r="E10" s="4"/>
      <c r="G10" s="4" t="s">
        <v>6</v>
      </c>
      <c r="H10" s="4"/>
      <c r="I10" s="4"/>
    </row>
    <row r="11" spans="1:9" x14ac:dyDescent="0.25">
      <c r="A11" s="3" t="s">
        <v>2</v>
      </c>
      <c r="B11" s="3" t="s">
        <v>4</v>
      </c>
      <c r="D11" s="3" t="s">
        <v>2</v>
      </c>
      <c r="E11" s="3" t="s">
        <v>57</v>
      </c>
      <c r="G11" s="3" t="s">
        <v>2</v>
      </c>
      <c r="H11" s="3" t="s">
        <v>3</v>
      </c>
      <c r="I11" s="3" t="s">
        <v>7</v>
      </c>
    </row>
    <row r="12" spans="1:9" x14ac:dyDescent="0.25">
      <c r="A12" s="1" t="s">
        <v>21</v>
      </c>
      <c r="B12" s="1">
        <v>5365</v>
      </c>
      <c r="D12" s="1" t="s">
        <v>21</v>
      </c>
      <c r="E12" t="s">
        <v>27</v>
      </c>
      <c r="G12" s="2" t="s">
        <v>22</v>
      </c>
      <c r="H12" s="2" t="s">
        <v>40</v>
      </c>
      <c r="I12" s="1">
        <v>16620</v>
      </c>
    </row>
    <row r="13" spans="1:9" x14ac:dyDescent="0.25">
      <c r="A13" s="1" t="s">
        <v>22</v>
      </c>
      <c r="B13" s="1">
        <v>17450</v>
      </c>
      <c r="D13" s="1" t="s">
        <v>22</v>
      </c>
      <c r="E13" t="s">
        <v>36</v>
      </c>
    </row>
    <row r="14" spans="1:9" x14ac:dyDescent="0.25">
      <c r="A14" s="1" t="s">
        <v>23</v>
      </c>
      <c r="B14" s="1">
        <v>180</v>
      </c>
      <c r="D14" s="1" t="s">
        <v>23</v>
      </c>
      <c r="E14" t="s">
        <v>30</v>
      </c>
    </row>
    <row r="15" spans="1:9" x14ac:dyDescent="0.25">
      <c r="A15" s="1" t="s">
        <v>24</v>
      </c>
      <c r="B15" s="1">
        <v>3500</v>
      </c>
      <c r="D15" s="1" t="s">
        <v>24</v>
      </c>
      <c r="E15" t="s">
        <v>28</v>
      </c>
    </row>
    <row r="16" spans="1:9" x14ac:dyDescent="0.25">
      <c r="A16" s="1" t="s">
        <v>25</v>
      </c>
      <c r="B16" s="1">
        <v>830</v>
      </c>
      <c r="D16" s="1" t="s">
        <v>25</v>
      </c>
      <c r="E16" t="s">
        <v>40</v>
      </c>
    </row>
    <row r="17" spans="1:7" x14ac:dyDescent="0.25">
      <c r="A17" s="1" t="s">
        <v>26</v>
      </c>
      <c r="B17" s="1">
        <v>1800</v>
      </c>
      <c r="D17" s="1" t="s">
        <v>26</v>
      </c>
      <c r="E17" t="s">
        <v>29</v>
      </c>
    </row>
    <row r="19" spans="1:7" ht="18.75" x14ac:dyDescent="0.25">
      <c r="A19" s="4" t="s">
        <v>17</v>
      </c>
      <c r="B19" s="4"/>
    </row>
    <row r="20" spans="1:7" x14ac:dyDescent="0.25">
      <c r="A20" s="3" t="s">
        <v>8</v>
      </c>
      <c r="B20" s="3" t="s">
        <v>3</v>
      </c>
      <c r="C20" s="3" t="s">
        <v>18</v>
      </c>
      <c r="D20" s="3" t="s">
        <v>5</v>
      </c>
      <c r="E20" s="3" t="s">
        <v>14</v>
      </c>
      <c r="F20" s="3" t="s">
        <v>13</v>
      </c>
      <c r="G20" s="3" t="s">
        <v>15</v>
      </c>
    </row>
    <row r="21" spans="1:7" x14ac:dyDescent="0.25">
      <c r="A21" s="1" t="s">
        <v>21</v>
      </c>
      <c r="B21" s="1" t="s">
        <v>27</v>
      </c>
      <c r="C21" s="1" t="s">
        <v>58</v>
      </c>
      <c r="D21" s="1">
        <f>_xlfn.XLOOKUP(Table9[[#This Row],[Table Name]],Table8[Table],Table8[Total Row Count],"",0)</f>
        <v>5365</v>
      </c>
      <c r="E21" s="1"/>
      <c r="F21" s="1">
        <f>Table9[[#This Row],[Total Rows]]-Table9[[#This Row],[NULL/Blank]]</f>
        <v>5365</v>
      </c>
      <c r="G21" s="1">
        <f>ROUND((Table9[[#This Row],[NULL/Blank]]/Table9[[#This Row],[Total Rows]])*100,2)</f>
        <v>0</v>
      </c>
    </row>
    <row r="22" spans="1:7" x14ac:dyDescent="0.25">
      <c r="A22" s="1" t="s">
        <v>21</v>
      </c>
      <c r="B22" s="1" t="s">
        <v>28</v>
      </c>
      <c r="C22" s="1" t="s">
        <v>58</v>
      </c>
      <c r="D22" s="1">
        <f>_xlfn.XLOOKUP(Table9[[#This Row],[Table Name]],Table8[Table],Table8[Total Row Count],"",0)</f>
        <v>5365</v>
      </c>
      <c r="E22" s="1"/>
      <c r="F22" s="1">
        <f>Table9[[#This Row],[Total Rows]]-Table9[[#This Row],[NULL/Blank]]</f>
        <v>5365</v>
      </c>
      <c r="G22" s="1">
        <f>ROUND((Table9[[#This Row],[NULL/Blank]]/Table9[[#This Row],[Total Rows]])*100,2)</f>
        <v>0</v>
      </c>
    </row>
    <row r="23" spans="1:7" x14ac:dyDescent="0.25">
      <c r="A23" s="1" t="s">
        <v>21</v>
      </c>
      <c r="B23" s="1" t="s">
        <v>29</v>
      </c>
      <c r="C23" s="1" t="s">
        <v>58</v>
      </c>
      <c r="D23" s="1">
        <f>_xlfn.XLOOKUP(Table9[[#This Row],[Table Name]],Table8[Table],Table8[Total Row Count],"",0)</f>
        <v>5365</v>
      </c>
      <c r="E23" s="1"/>
      <c r="F23" s="1">
        <f>Table9[[#This Row],[Total Rows]]-Table9[[#This Row],[NULL/Blank]]</f>
        <v>5365</v>
      </c>
      <c r="G23" s="1">
        <f>ROUND((Table9[[#This Row],[NULL/Blank]]/Table9[[#This Row],[Total Rows]])*100,2)</f>
        <v>0</v>
      </c>
    </row>
    <row r="24" spans="1:7" x14ac:dyDescent="0.25">
      <c r="A24" s="1" t="s">
        <v>21</v>
      </c>
      <c r="B24" s="1" t="s">
        <v>30</v>
      </c>
      <c r="C24" s="1" t="s">
        <v>58</v>
      </c>
      <c r="D24" s="1">
        <f>_xlfn.XLOOKUP(Table9[[#This Row],[Table Name]],Table8[Table],Table8[Total Row Count],"",0)</f>
        <v>5365</v>
      </c>
      <c r="E24" s="1"/>
      <c r="F24" s="1">
        <f>Table9[[#This Row],[Total Rows]]-Table9[[#This Row],[NULL/Blank]]</f>
        <v>5365</v>
      </c>
      <c r="G24" s="1">
        <f>ROUND((Table9[[#This Row],[NULL/Blank]]/Table9[[#This Row],[Total Rows]])*100,2)</f>
        <v>0</v>
      </c>
    </row>
    <row r="25" spans="1:7" x14ac:dyDescent="0.25">
      <c r="A25" s="1" t="s">
        <v>21</v>
      </c>
      <c r="B25" s="1" t="s">
        <v>31</v>
      </c>
      <c r="C25" s="1" t="s">
        <v>61</v>
      </c>
      <c r="D25" s="1">
        <f>_xlfn.XLOOKUP(Table9[[#This Row],[Table Name]],Table8[Table],Table8[Total Row Count],"",0)</f>
        <v>5365</v>
      </c>
      <c r="E25" s="1"/>
      <c r="F25" s="1">
        <f>Table9[[#This Row],[Total Rows]]-Table9[[#This Row],[NULL/Blank]]</f>
        <v>5365</v>
      </c>
      <c r="G25" s="1">
        <f>ROUND((Table9[[#This Row],[NULL/Blank]]/Table9[[#This Row],[Total Rows]])*100,2)</f>
        <v>0</v>
      </c>
    </row>
    <row r="26" spans="1:7" x14ac:dyDescent="0.25">
      <c r="A26" s="1" t="s">
        <v>21</v>
      </c>
      <c r="B26" s="1" t="s">
        <v>32</v>
      </c>
      <c r="C26" s="1" t="s">
        <v>62</v>
      </c>
      <c r="D26" s="1">
        <f>_xlfn.XLOOKUP(Table9[[#This Row],[Table Name]],Table8[Table],Table8[Total Row Count],"",0)</f>
        <v>5365</v>
      </c>
      <c r="E26" s="1"/>
      <c r="F26" s="1">
        <f>Table9[[#This Row],[Total Rows]]-Table9[[#This Row],[NULL/Blank]]</f>
        <v>5365</v>
      </c>
      <c r="G26" s="1">
        <f>ROUND((Table9[[#This Row],[NULL/Blank]]/Table9[[#This Row],[Total Rows]])*100,2)</f>
        <v>0</v>
      </c>
    </row>
    <row r="27" spans="1:7" x14ac:dyDescent="0.25">
      <c r="A27" s="1" t="s">
        <v>21</v>
      </c>
      <c r="B27" s="1" t="s">
        <v>33</v>
      </c>
      <c r="C27" s="1" t="s">
        <v>58</v>
      </c>
      <c r="D27" s="1">
        <f>_xlfn.XLOOKUP(Table9[[#This Row],[Table Name]],Table8[Table],Table8[Total Row Count],"",0)</f>
        <v>5365</v>
      </c>
      <c r="E27" s="1"/>
      <c r="F27" s="1">
        <f>Table9[[#This Row],[Total Rows]]-Table9[[#This Row],[NULL/Blank]]</f>
        <v>5365</v>
      </c>
      <c r="G27" s="1">
        <f>ROUND((Table9[[#This Row],[NULL/Blank]]/Table9[[#This Row],[Total Rows]])*100,2)</f>
        <v>0</v>
      </c>
    </row>
    <row r="28" spans="1:7" x14ac:dyDescent="0.25">
      <c r="A28" s="1" t="s">
        <v>22</v>
      </c>
      <c r="B28" s="1" t="s">
        <v>36</v>
      </c>
      <c r="C28" s="1" t="s">
        <v>58</v>
      </c>
      <c r="D28" s="1">
        <f>_xlfn.XLOOKUP(Table9[[#This Row],[Table Name]],Table8[Table],Table8[Total Row Count],"",0)</f>
        <v>17450</v>
      </c>
      <c r="E28" s="1"/>
      <c r="F28" s="1">
        <f>Table9[[#This Row],[Total Rows]]-Table9[[#This Row],[NULL/Blank]]</f>
        <v>17450</v>
      </c>
      <c r="G28" s="1">
        <f>ROUND((Table9[[#This Row],[NULL/Blank]]/Table9[[#This Row],[Total Rows]])*100,2)</f>
        <v>0</v>
      </c>
    </row>
    <row r="29" spans="1:7" x14ac:dyDescent="0.25">
      <c r="A29" s="1" t="s">
        <v>22</v>
      </c>
      <c r="B29" s="1" t="s">
        <v>28</v>
      </c>
      <c r="C29" s="1" t="s">
        <v>58</v>
      </c>
      <c r="D29" s="1">
        <f>_xlfn.XLOOKUP(Table9[[#This Row],[Table Name]],Table8[Table],Table8[Total Row Count],"",0)</f>
        <v>17450</v>
      </c>
      <c r="E29" s="1"/>
      <c r="F29" s="1">
        <f>Table9[[#This Row],[Total Rows]]-Table9[[#This Row],[NULL/Blank]]</f>
        <v>17450</v>
      </c>
      <c r="G29" s="1">
        <f>ROUND((Table9[[#This Row],[NULL/Blank]]/Table9[[#This Row],[Total Rows]])*100,2)</f>
        <v>0</v>
      </c>
    </row>
    <row r="30" spans="1:7" x14ac:dyDescent="0.25">
      <c r="A30" s="1" t="s">
        <v>22</v>
      </c>
      <c r="B30" s="1" t="s">
        <v>29</v>
      </c>
      <c r="C30" s="1" t="s">
        <v>58</v>
      </c>
      <c r="D30" s="1">
        <f>_xlfn.XLOOKUP(Table9[[#This Row],[Table Name]],Table8[Table],Table8[Total Row Count],"",0)</f>
        <v>17450</v>
      </c>
      <c r="E30" s="1"/>
      <c r="F30" s="1">
        <f>Table9[[#This Row],[Total Rows]]-Table9[[#This Row],[NULL/Blank]]</f>
        <v>17450</v>
      </c>
      <c r="G30" s="1">
        <f>ROUND((Table9[[#This Row],[NULL/Blank]]/Table9[[#This Row],[Total Rows]])*100,2)</f>
        <v>0</v>
      </c>
    </row>
    <row r="31" spans="1:7" x14ac:dyDescent="0.25">
      <c r="A31" s="1" t="s">
        <v>22</v>
      </c>
      <c r="B31" s="1" t="s">
        <v>37</v>
      </c>
      <c r="C31" s="1" t="s">
        <v>61</v>
      </c>
      <c r="D31" s="1">
        <f>_xlfn.XLOOKUP(Table9[[#This Row],[Table Name]],Table8[Table],Table8[Total Row Count],"",0)</f>
        <v>17450</v>
      </c>
      <c r="E31" s="1"/>
      <c r="F31" s="1">
        <f>Table9[[#This Row],[Total Rows]]-Table9[[#This Row],[NULL/Blank]]</f>
        <v>17450</v>
      </c>
      <c r="G31" s="1">
        <f>ROUND((Table9[[#This Row],[NULL/Blank]]/Table9[[#This Row],[Total Rows]])*100,2)</f>
        <v>0</v>
      </c>
    </row>
    <row r="32" spans="1:7" x14ac:dyDescent="0.25">
      <c r="A32" s="1" t="s">
        <v>22</v>
      </c>
      <c r="B32" s="1" t="s">
        <v>38</v>
      </c>
      <c r="C32" s="1" t="s">
        <v>62</v>
      </c>
      <c r="D32" s="1">
        <f>_xlfn.XLOOKUP(Table9[[#This Row],[Table Name]],Table8[Table],Table8[Total Row Count],"",0)</f>
        <v>17450</v>
      </c>
      <c r="E32" s="1"/>
      <c r="F32" s="1">
        <f>Table9[[#This Row],[Total Rows]]-Table9[[#This Row],[NULL/Blank]]</f>
        <v>17450</v>
      </c>
      <c r="G32" s="1">
        <f>ROUND((Table9[[#This Row],[NULL/Blank]]/Table9[[#This Row],[Total Rows]])*100,2)</f>
        <v>0</v>
      </c>
    </row>
    <row r="33" spans="1:7" x14ac:dyDescent="0.25">
      <c r="A33" s="1" t="s">
        <v>22</v>
      </c>
      <c r="B33" s="1" t="s">
        <v>39</v>
      </c>
      <c r="C33" s="1" t="s">
        <v>58</v>
      </c>
      <c r="D33" s="1">
        <f>_xlfn.XLOOKUP(Table9[[#This Row],[Table Name]],Table8[Table],Table8[Total Row Count],"",0)</f>
        <v>17450</v>
      </c>
      <c r="E33" s="1"/>
      <c r="F33" s="1">
        <f>Table9[[#This Row],[Total Rows]]-Table9[[#This Row],[NULL/Blank]]</f>
        <v>17450</v>
      </c>
      <c r="G33" s="1">
        <f>ROUND((Table9[[#This Row],[NULL/Blank]]/Table9[[#This Row],[Total Rows]])*100,2)</f>
        <v>0</v>
      </c>
    </row>
    <row r="34" spans="1:7" x14ac:dyDescent="0.25">
      <c r="A34" s="1" t="s">
        <v>22</v>
      </c>
      <c r="B34" s="1" t="s">
        <v>30</v>
      </c>
      <c r="C34" s="1" t="s">
        <v>58</v>
      </c>
      <c r="D34" s="1">
        <f>_xlfn.XLOOKUP(Table9[[#This Row],[Table Name]],Table8[Table],Table8[Total Row Count],"",0)</f>
        <v>17450</v>
      </c>
      <c r="E34" s="1"/>
      <c r="F34" s="1">
        <f>Table9[[#This Row],[Total Rows]]-Table9[[#This Row],[NULL/Blank]]</f>
        <v>17450</v>
      </c>
      <c r="G34" s="1">
        <f>ROUND((Table9[[#This Row],[NULL/Blank]]/Table9[[#This Row],[Total Rows]])*100,2)</f>
        <v>0</v>
      </c>
    </row>
    <row r="35" spans="1:7" x14ac:dyDescent="0.25">
      <c r="A35" s="1" t="s">
        <v>22</v>
      </c>
      <c r="B35" s="1" t="s">
        <v>40</v>
      </c>
      <c r="C35" s="1" t="s">
        <v>58</v>
      </c>
      <c r="D35" s="1">
        <f>_xlfn.XLOOKUP(Table9[[#This Row],[Table Name]],Table8[Table],Table8[Total Row Count],"",0)</f>
        <v>17450</v>
      </c>
      <c r="E35" s="1">
        <v>16620</v>
      </c>
      <c r="F35" s="1">
        <f>Table9[[#This Row],[Total Rows]]-Table9[[#This Row],[NULL/Blank]]</f>
        <v>830</v>
      </c>
      <c r="G35" s="1">
        <f>ROUND((Table9[[#This Row],[NULL/Blank]]/Table9[[#This Row],[Total Rows]])*100,2)</f>
        <v>95.24</v>
      </c>
    </row>
    <row r="36" spans="1:7" x14ac:dyDescent="0.25">
      <c r="A36" s="1" t="s">
        <v>23</v>
      </c>
      <c r="B36" s="1" t="s">
        <v>30</v>
      </c>
      <c r="C36" s="1" t="s">
        <v>58</v>
      </c>
      <c r="D36" s="1">
        <f>_xlfn.XLOOKUP(Table9[[#This Row],[Table Name]],Table8[Table],Table8[Total Row Count],"",0)</f>
        <v>180</v>
      </c>
      <c r="E36" s="1"/>
      <c r="F36" s="1">
        <f>Table9[[#This Row],[Total Rows]]-Table9[[#This Row],[NULL/Blank]]</f>
        <v>180</v>
      </c>
      <c r="G36" s="1">
        <f>ROUND((Table9[[#This Row],[NULL/Blank]]/Table9[[#This Row],[Total Rows]])*100,2)</f>
        <v>0</v>
      </c>
    </row>
    <row r="37" spans="1:7" x14ac:dyDescent="0.25">
      <c r="A37" s="1" t="s">
        <v>23</v>
      </c>
      <c r="B37" s="1" t="s">
        <v>42</v>
      </c>
      <c r="C37" s="1" t="s">
        <v>58</v>
      </c>
      <c r="D37" s="1">
        <f>_xlfn.XLOOKUP(Table9[[#This Row],[Table Name]],Table8[Table],Table8[Total Row Count],"",0)</f>
        <v>180</v>
      </c>
      <c r="E37" s="1"/>
      <c r="F37" s="1">
        <f>Table9[[#This Row],[Total Rows]]-Table9[[#This Row],[NULL/Blank]]</f>
        <v>180</v>
      </c>
      <c r="G37" s="1">
        <f>ROUND((Table9[[#This Row],[NULL/Blank]]/Table9[[#This Row],[Total Rows]])*100,2)</f>
        <v>0</v>
      </c>
    </row>
    <row r="38" spans="1:7" x14ac:dyDescent="0.25">
      <c r="A38" s="1" t="s">
        <v>23</v>
      </c>
      <c r="B38" s="1" t="s">
        <v>43</v>
      </c>
      <c r="C38" s="1" t="s">
        <v>58</v>
      </c>
      <c r="D38" s="1">
        <f>_xlfn.XLOOKUP(Table9[[#This Row],[Table Name]],Table8[Table],Table8[Total Row Count],"",0)</f>
        <v>180</v>
      </c>
      <c r="E38" s="1"/>
      <c r="F38" s="1">
        <f>Table9[[#This Row],[Total Rows]]-Table9[[#This Row],[NULL/Blank]]</f>
        <v>180</v>
      </c>
      <c r="G38" s="1">
        <f>ROUND((Table9[[#This Row],[NULL/Blank]]/Table9[[#This Row],[Total Rows]])*100,2)</f>
        <v>0</v>
      </c>
    </row>
    <row r="39" spans="1:7" x14ac:dyDescent="0.25">
      <c r="A39" s="1" t="s">
        <v>23</v>
      </c>
      <c r="B39" s="1" t="s">
        <v>44</v>
      </c>
      <c r="C39" s="1" t="s">
        <v>58</v>
      </c>
      <c r="D39" s="1">
        <f>_xlfn.XLOOKUP(Table9[[#This Row],[Table Name]],Table8[Table],Table8[Total Row Count],"",0)</f>
        <v>180</v>
      </c>
      <c r="E39" s="1"/>
      <c r="F39" s="1">
        <f>Table9[[#This Row],[Total Rows]]-Table9[[#This Row],[NULL/Blank]]</f>
        <v>180</v>
      </c>
      <c r="G39" s="1">
        <f>ROUND((Table9[[#This Row],[NULL/Blank]]/Table9[[#This Row],[Total Rows]])*100,2)</f>
        <v>0</v>
      </c>
    </row>
    <row r="40" spans="1:7" x14ac:dyDescent="0.25">
      <c r="A40" s="1" t="s">
        <v>23</v>
      </c>
      <c r="B40" s="1" t="s">
        <v>45</v>
      </c>
      <c r="C40" s="1" t="s">
        <v>60</v>
      </c>
      <c r="D40" s="1">
        <f>_xlfn.XLOOKUP(Table9[[#This Row],[Table Name]],Table8[Table],Table8[Total Row Count],"",0)</f>
        <v>180</v>
      </c>
      <c r="E40" s="1"/>
      <c r="F40" s="1">
        <f>Table9[[#This Row],[Total Rows]]-Table9[[#This Row],[NULL/Blank]]</f>
        <v>180</v>
      </c>
      <c r="G40" s="1">
        <f>ROUND((Table9[[#This Row],[NULL/Blank]]/Table9[[#This Row],[Total Rows]])*100,2)</f>
        <v>0</v>
      </c>
    </row>
    <row r="41" spans="1:7" x14ac:dyDescent="0.25">
      <c r="A41" s="1" t="s">
        <v>23</v>
      </c>
      <c r="B41" s="1" t="s">
        <v>46</v>
      </c>
      <c r="C41" s="1" t="s">
        <v>60</v>
      </c>
      <c r="D41" s="1">
        <f>_xlfn.XLOOKUP(Table9[[#This Row],[Table Name]],Table8[Table],Table8[Total Row Count],"",0)</f>
        <v>180</v>
      </c>
      <c r="E41" s="1"/>
      <c r="F41" s="1">
        <f>Table9[[#This Row],[Total Rows]]-Table9[[#This Row],[NULL/Blank]]</f>
        <v>180</v>
      </c>
      <c r="G41" s="1">
        <f>ROUND((Table9[[#This Row],[NULL/Blank]]/Table9[[#This Row],[Total Rows]])*100,2)</f>
        <v>0</v>
      </c>
    </row>
    <row r="42" spans="1:7" x14ac:dyDescent="0.25">
      <c r="A42" s="1" t="s">
        <v>23</v>
      </c>
      <c r="B42" s="1" t="s">
        <v>47</v>
      </c>
      <c r="C42" s="1" t="s">
        <v>62</v>
      </c>
      <c r="D42" s="1">
        <f>_xlfn.XLOOKUP(Table9[[#This Row],[Table Name]],Table8[Table],Table8[Total Row Count],"",0)</f>
        <v>180</v>
      </c>
      <c r="E42" s="1"/>
      <c r="F42" s="1">
        <f>Table9[[#This Row],[Total Rows]]-Table9[[#This Row],[NULL/Blank]]</f>
        <v>180</v>
      </c>
      <c r="G42" s="1">
        <f>ROUND((Table9[[#This Row],[NULL/Blank]]/Table9[[#This Row],[Total Rows]])*100,2)</f>
        <v>0</v>
      </c>
    </row>
    <row r="43" spans="1:7" x14ac:dyDescent="0.25">
      <c r="A43" s="1" t="s">
        <v>24</v>
      </c>
      <c r="B43" s="1" t="s">
        <v>28</v>
      </c>
      <c r="C43" s="1" t="s">
        <v>58</v>
      </c>
      <c r="D43" s="1">
        <f>_xlfn.XLOOKUP(Table9[[#This Row],[Table Name]],Table8[Table],Table8[Total Row Count],"",0)</f>
        <v>3500</v>
      </c>
      <c r="E43" s="1"/>
      <c r="F43" s="1">
        <f>Table9[[#This Row],[Total Rows]]-Table9[[#This Row],[NULL/Blank]]</f>
        <v>3500</v>
      </c>
      <c r="G43" s="1">
        <f>ROUND((Table9[[#This Row],[NULL/Blank]]/Table9[[#This Row],[Total Rows]])*100,2)</f>
        <v>0</v>
      </c>
    </row>
    <row r="44" spans="1:7" x14ac:dyDescent="0.25">
      <c r="A44" s="1" t="s">
        <v>24</v>
      </c>
      <c r="B44" s="1" t="s">
        <v>29</v>
      </c>
      <c r="C44" s="1" t="s">
        <v>58</v>
      </c>
      <c r="D44" s="1">
        <f>_xlfn.XLOOKUP(Table9[[#This Row],[Table Name]],Table8[Table],Table8[Total Row Count],"",0)</f>
        <v>3500</v>
      </c>
      <c r="E44" s="1"/>
      <c r="F44" s="1">
        <f>Table9[[#This Row],[Total Rows]]-Table9[[#This Row],[NULL/Blank]]</f>
        <v>3500</v>
      </c>
      <c r="G44" s="1">
        <f>ROUND((Table9[[#This Row],[NULL/Blank]]/Table9[[#This Row],[Total Rows]])*100,2)</f>
        <v>0</v>
      </c>
    </row>
    <row r="45" spans="1:7" x14ac:dyDescent="0.25">
      <c r="A45" s="1" t="s">
        <v>24</v>
      </c>
      <c r="B45" s="1" t="s">
        <v>48</v>
      </c>
      <c r="C45" s="1" t="s">
        <v>61</v>
      </c>
      <c r="D45" s="1">
        <f>_xlfn.XLOOKUP(Table9[[#This Row],[Table Name]],Table8[Table],Table8[Total Row Count],"",0)</f>
        <v>3500</v>
      </c>
      <c r="E45" s="1"/>
      <c r="F45" s="1">
        <f>Table9[[#This Row],[Total Rows]]-Table9[[#This Row],[NULL/Blank]]</f>
        <v>3500</v>
      </c>
      <c r="G45" s="1">
        <f>ROUND((Table9[[#This Row],[NULL/Blank]]/Table9[[#This Row],[Total Rows]])*100,2)</f>
        <v>0</v>
      </c>
    </row>
    <row r="46" spans="1:7" x14ac:dyDescent="0.25">
      <c r="A46" s="1" t="s">
        <v>24</v>
      </c>
      <c r="B46" s="1" t="s">
        <v>49</v>
      </c>
      <c r="C46" s="1" t="s">
        <v>58</v>
      </c>
      <c r="D46" s="1">
        <f>_xlfn.XLOOKUP(Table9[[#This Row],[Table Name]],Table8[Table],Table8[Total Row Count],"",0)</f>
        <v>3500</v>
      </c>
      <c r="E46" s="1"/>
      <c r="F46" s="1">
        <f>Table9[[#This Row],[Total Rows]]-Table9[[#This Row],[NULL/Blank]]</f>
        <v>3500</v>
      </c>
      <c r="G46" s="1">
        <f>ROUND((Table9[[#This Row],[NULL/Blank]]/Table9[[#This Row],[Total Rows]])*100,2)</f>
        <v>0</v>
      </c>
    </row>
    <row r="47" spans="1:7" x14ac:dyDescent="0.25">
      <c r="A47" s="1" t="s">
        <v>24</v>
      </c>
      <c r="B47" s="1" t="s">
        <v>50</v>
      </c>
      <c r="C47" s="1" t="s">
        <v>58</v>
      </c>
      <c r="D47" s="1">
        <f>_xlfn.XLOOKUP(Table9[[#This Row],[Table Name]],Table8[Table],Table8[Total Row Count],"",0)</f>
        <v>3500</v>
      </c>
      <c r="E47" s="1"/>
      <c r="F47" s="1">
        <f>Table9[[#This Row],[Total Rows]]-Table9[[#This Row],[NULL/Blank]]</f>
        <v>3500</v>
      </c>
      <c r="G47" s="1">
        <f>ROUND((Table9[[#This Row],[NULL/Blank]]/Table9[[#This Row],[Total Rows]])*100,2)</f>
        <v>0</v>
      </c>
    </row>
    <row r="48" spans="1:7" x14ac:dyDescent="0.25">
      <c r="A48" s="1" t="s">
        <v>24</v>
      </c>
      <c r="B48" s="1" t="s">
        <v>51</v>
      </c>
      <c r="C48" s="1" t="s">
        <v>58</v>
      </c>
      <c r="D48" s="1">
        <f>_xlfn.XLOOKUP(Table9[[#This Row],[Table Name]],Table8[Table],Table8[Total Row Count],"",0)</f>
        <v>3500</v>
      </c>
      <c r="E48" s="1"/>
      <c r="F48" s="1">
        <f>Table9[[#This Row],[Total Rows]]-Table9[[#This Row],[NULL/Blank]]</f>
        <v>3500</v>
      </c>
      <c r="G48" s="1">
        <f>ROUND((Table9[[#This Row],[NULL/Blank]]/Table9[[#This Row],[Total Rows]])*100,2)</f>
        <v>0</v>
      </c>
    </row>
    <row r="49" spans="1:7" x14ac:dyDescent="0.25">
      <c r="A49" s="1" t="s">
        <v>25</v>
      </c>
      <c r="B49" s="1" t="s">
        <v>40</v>
      </c>
      <c r="C49" s="1" t="s">
        <v>58</v>
      </c>
      <c r="D49" s="1">
        <f>_xlfn.XLOOKUP(Table9[[#This Row],[Table Name]],Table8[Table],Table8[Total Row Count],"",0)</f>
        <v>830</v>
      </c>
      <c r="E49" s="1"/>
      <c r="F49" s="1">
        <f>Table9[[#This Row],[Total Rows]]-Table9[[#This Row],[NULL/Blank]]</f>
        <v>830</v>
      </c>
      <c r="G49" s="1">
        <f>ROUND((Table9[[#This Row],[NULL/Blank]]/Table9[[#This Row],[Total Rows]])*100,2)</f>
        <v>0</v>
      </c>
    </row>
    <row r="50" spans="1:7" x14ac:dyDescent="0.25">
      <c r="A50" s="1" t="s">
        <v>25</v>
      </c>
      <c r="B50" s="1" t="s">
        <v>28</v>
      </c>
      <c r="C50" s="1" t="s">
        <v>58</v>
      </c>
      <c r="D50" s="1">
        <f>_xlfn.XLOOKUP(Table9[[#This Row],[Table Name]],Table8[Table],Table8[Total Row Count],"",0)</f>
        <v>830</v>
      </c>
      <c r="E50" s="1"/>
      <c r="F50" s="1">
        <f>Table9[[#This Row],[Total Rows]]-Table9[[#This Row],[NULL/Blank]]</f>
        <v>830</v>
      </c>
      <c r="G50" s="1">
        <f>ROUND((Table9[[#This Row],[NULL/Blank]]/Table9[[#This Row],[Total Rows]])*100,2)</f>
        <v>0</v>
      </c>
    </row>
    <row r="51" spans="1:7" x14ac:dyDescent="0.25">
      <c r="A51" s="1" t="s">
        <v>25</v>
      </c>
      <c r="B51" s="1" t="s">
        <v>29</v>
      </c>
      <c r="C51" s="1" t="s">
        <v>58</v>
      </c>
      <c r="D51" s="1">
        <f>_xlfn.XLOOKUP(Table9[[#This Row],[Table Name]],Table8[Table],Table8[Total Row Count],"",0)</f>
        <v>830</v>
      </c>
      <c r="E51" s="1"/>
      <c r="F51" s="1">
        <f>Table9[[#This Row],[Total Rows]]-Table9[[#This Row],[NULL/Blank]]</f>
        <v>830</v>
      </c>
      <c r="G51" s="1">
        <f>ROUND((Table9[[#This Row],[NULL/Blank]]/Table9[[#This Row],[Total Rows]])*100,2)</f>
        <v>0</v>
      </c>
    </row>
    <row r="52" spans="1:7" x14ac:dyDescent="0.25">
      <c r="A52" s="1" t="s">
        <v>25</v>
      </c>
      <c r="B52" s="1" t="s">
        <v>52</v>
      </c>
      <c r="C52" s="1" t="s">
        <v>59</v>
      </c>
      <c r="D52" s="1">
        <f>_xlfn.XLOOKUP(Table9[[#This Row],[Table Name]],Table8[Table],Table8[Total Row Count],"",0)</f>
        <v>830</v>
      </c>
      <c r="E52" s="1"/>
      <c r="F52" s="1">
        <f>Table9[[#This Row],[Total Rows]]-Table9[[#This Row],[NULL/Blank]]</f>
        <v>830</v>
      </c>
      <c r="G52" s="1">
        <f>ROUND((Table9[[#This Row],[NULL/Blank]]/Table9[[#This Row],[Total Rows]])*100,2)</f>
        <v>0</v>
      </c>
    </row>
    <row r="53" spans="1:7" x14ac:dyDescent="0.25">
      <c r="A53" s="1" t="s">
        <v>25</v>
      </c>
      <c r="B53" s="1" t="s">
        <v>53</v>
      </c>
      <c r="C53" s="1" t="s">
        <v>60</v>
      </c>
      <c r="D53" s="1">
        <f>_xlfn.XLOOKUP(Table9[[#This Row],[Table Name]],Table8[Table],Table8[Total Row Count],"",0)</f>
        <v>830</v>
      </c>
      <c r="E53" s="1"/>
      <c r="F53" s="1">
        <f>Table9[[#This Row],[Total Rows]]-Table9[[#This Row],[NULL/Blank]]</f>
        <v>830</v>
      </c>
      <c r="G53" s="1">
        <f>ROUND((Table9[[#This Row],[NULL/Blank]]/Table9[[#This Row],[Total Rows]])*100,2)</f>
        <v>0</v>
      </c>
    </row>
    <row r="54" spans="1:7" x14ac:dyDescent="0.25">
      <c r="A54" s="1" t="s">
        <v>25</v>
      </c>
      <c r="B54" s="1" t="s">
        <v>54</v>
      </c>
      <c r="C54" s="1" t="s">
        <v>58</v>
      </c>
      <c r="D54" s="1">
        <f>_xlfn.XLOOKUP(Table9[[#This Row],[Table Name]],Table8[Table],Table8[Total Row Count],"",0)</f>
        <v>830</v>
      </c>
      <c r="E54" s="1"/>
      <c r="F54" s="1">
        <f>Table9[[#This Row],[Total Rows]]-Table9[[#This Row],[NULL/Blank]]</f>
        <v>830</v>
      </c>
      <c r="G54" s="1">
        <f>ROUND((Table9[[#This Row],[NULL/Blank]]/Table9[[#This Row],[Total Rows]])*100,2)</f>
        <v>0</v>
      </c>
    </row>
    <row r="55" spans="1:7" x14ac:dyDescent="0.25">
      <c r="A55" s="1" t="s">
        <v>26</v>
      </c>
      <c r="B55" s="1" t="s">
        <v>29</v>
      </c>
      <c r="C55" s="1" t="s">
        <v>58</v>
      </c>
      <c r="D55" s="1">
        <f>_xlfn.XLOOKUP(Table9[[#This Row],[Table Name]],Table8[Table],Table8[Total Row Count],"",0)</f>
        <v>1800</v>
      </c>
      <c r="E55" s="1"/>
      <c r="F55" s="1">
        <f>Table9[[#This Row],[Total Rows]]-Table9[[#This Row],[NULL/Blank]]</f>
        <v>1800</v>
      </c>
      <c r="G55" s="1">
        <f>ROUND((Table9[[#This Row],[NULL/Blank]]/Table9[[#This Row],[Total Rows]])*100,2)</f>
        <v>0</v>
      </c>
    </row>
    <row r="56" spans="1:7" x14ac:dyDescent="0.25">
      <c r="A56" s="1" t="s">
        <v>26</v>
      </c>
      <c r="B56" s="1" t="s">
        <v>55</v>
      </c>
      <c r="C56" s="1" t="s">
        <v>59</v>
      </c>
      <c r="D56" s="1">
        <f>_xlfn.XLOOKUP(Table9[[#This Row],[Table Name]],Table8[Table],Table8[Total Row Count],"",0)</f>
        <v>1800</v>
      </c>
      <c r="E56" s="1"/>
      <c r="F56" s="1">
        <f>Table9[[#This Row],[Total Rows]]-Table9[[#This Row],[NULL/Blank]]</f>
        <v>1800</v>
      </c>
      <c r="G56" s="1">
        <f>ROUND((Table9[[#This Row],[NULL/Blank]]/Table9[[#This Row],[Total Rows]])*100,2)</f>
        <v>0</v>
      </c>
    </row>
    <row r="57" spans="1:7" x14ac:dyDescent="0.25">
      <c r="A57" s="1" t="s">
        <v>26</v>
      </c>
      <c r="B57" s="1" t="s">
        <v>49</v>
      </c>
      <c r="C57" s="1" t="s">
        <v>58</v>
      </c>
      <c r="D57" s="1">
        <f>_xlfn.XLOOKUP(Table9[[#This Row],[Table Name]],Table8[Table],Table8[Total Row Count],"",0)</f>
        <v>1800</v>
      </c>
      <c r="E57" s="1"/>
      <c r="F57" s="1">
        <f>Table9[[#This Row],[Total Rows]]-Table9[[#This Row],[NULL/Blank]]</f>
        <v>1800</v>
      </c>
      <c r="G57" s="1">
        <f>ROUND((Table9[[#This Row],[NULL/Blank]]/Table9[[#This Row],[Total Rows]])*100,2)</f>
        <v>0</v>
      </c>
    </row>
    <row r="58" spans="1:7" x14ac:dyDescent="0.25">
      <c r="A58" s="1" t="s">
        <v>26</v>
      </c>
      <c r="B58" s="1" t="s">
        <v>50</v>
      </c>
      <c r="C58" s="1" t="s">
        <v>58</v>
      </c>
      <c r="D58" s="1">
        <f>_xlfn.XLOOKUP(Table9[[#This Row],[Table Name]],Table8[Table],Table8[Total Row Count],"",0)</f>
        <v>1800</v>
      </c>
      <c r="E58" s="1"/>
      <c r="F58" s="1">
        <f>Table9[[#This Row],[Total Rows]]-Table9[[#This Row],[NULL/Blank]]</f>
        <v>1800</v>
      </c>
      <c r="G58" s="1">
        <f>ROUND((Table9[[#This Row],[NULL/Blank]]/Table9[[#This Row],[Total Rows]])*100,2)</f>
        <v>0</v>
      </c>
    </row>
    <row r="59" spans="1:7" x14ac:dyDescent="0.25">
      <c r="A59" s="1" t="s">
        <v>26</v>
      </c>
      <c r="B59" s="1" t="s">
        <v>56</v>
      </c>
      <c r="C59" s="1" t="s">
        <v>58</v>
      </c>
      <c r="D59" s="1">
        <f>_xlfn.XLOOKUP(Table9[[#This Row],[Table Name]],Table8[Table],Table8[Total Row Count],"",0)</f>
        <v>1800</v>
      </c>
      <c r="E59" s="1"/>
      <c r="F59" s="1">
        <f>Table9[[#This Row],[Total Rows]]-Table9[[#This Row],[NULL/Blank]]</f>
        <v>1800</v>
      </c>
      <c r="G59" s="1">
        <f>ROUND((Table9[[#This Row],[NULL/Blank]]/Table9[[#This Row],[Total Rows]])*100,2)</f>
        <v>0</v>
      </c>
    </row>
  </sheetData>
  <mergeCells count="5">
    <mergeCell ref="G10:I10"/>
    <mergeCell ref="D10:E10"/>
    <mergeCell ref="A10:B10"/>
    <mergeCell ref="A1:B1"/>
    <mergeCell ref="A19:B19"/>
  </mergeCells>
  <phoneticPr fontId="2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698C-5787-4537-9323-530F62EA474B}">
  <dimension ref="A1:F6"/>
  <sheetViews>
    <sheetView workbookViewId="0">
      <selection activeCell="B3" sqref="B3"/>
    </sheetView>
  </sheetViews>
  <sheetFormatPr defaultRowHeight="15" x14ac:dyDescent="0.25"/>
  <cols>
    <col min="1" max="1" width="12.42578125" bestFit="1" customWidth="1"/>
    <col min="2" max="2" width="11.5703125" bestFit="1" customWidth="1"/>
    <col min="3" max="3" width="19.140625" bestFit="1" customWidth="1"/>
    <col min="4" max="4" width="60.85546875" bestFit="1" customWidth="1"/>
    <col min="5" max="5" width="12.85546875" bestFit="1" customWidth="1"/>
    <col min="6" max="6" width="40.140625" bestFit="1" customWidth="1"/>
    <col min="7" max="7" width="11.42578125" bestFit="1" customWidth="1"/>
    <col min="8" max="8" width="18.7109375" bestFit="1" customWidth="1"/>
  </cols>
  <sheetData>
    <row r="1" spans="1:6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19</v>
      </c>
      <c r="F1" s="3" t="s">
        <v>66</v>
      </c>
    </row>
    <row r="2" spans="1:6" x14ac:dyDescent="0.25">
      <c r="A2" s="1">
        <v>1</v>
      </c>
      <c r="B2" s="2" t="s">
        <v>22</v>
      </c>
      <c r="C2" s="2" t="s">
        <v>39</v>
      </c>
      <c r="D2" s="2" t="s">
        <v>64</v>
      </c>
      <c r="E2" s="2" t="s">
        <v>65</v>
      </c>
      <c r="F2" s="2" t="s">
        <v>67</v>
      </c>
    </row>
    <row r="3" spans="1:6" x14ac:dyDescent="0.25">
      <c r="A3" s="1">
        <f t="shared" ref="A3:A6" si="0">A2+1</f>
        <v>2</v>
      </c>
      <c r="B3" s="2"/>
      <c r="C3" s="2"/>
      <c r="D3" s="2"/>
      <c r="E3" s="2"/>
      <c r="F3" s="2"/>
    </row>
    <row r="4" spans="1:6" x14ac:dyDescent="0.25">
      <c r="A4" s="1">
        <f t="shared" si="0"/>
        <v>3</v>
      </c>
      <c r="B4" s="2"/>
      <c r="C4" s="2"/>
      <c r="D4" s="2"/>
      <c r="E4" s="2"/>
      <c r="F4" s="2"/>
    </row>
    <row r="5" spans="1:6" x14ac:dyDescent="0.25">
      <c r="A5" s="1">
        <f t="shared" si="0"/>
        <v>4</v>
      </c>
      <c r="B5" s="2"/>
      <c r="C5" s="2"/>
      <c r="D5" s="2"/>
      <c r="E5" s="2"/>
      <c r="F5" s="2"/>
    </row>
    <row r="6" spans="1:6" x14ac:dyDescent="0.25">
      <c r="A6" s="1">
        <f t="shared" si="0"/>
        <v>5</v>
      </c>
      <c r="B6" s="2"/>
      <c r="C6" s="2"/>
      <c r="D6" s="2"/>
      <c r="E6" s="2"/>
      <c r="F6" s="2"/>
    </row>
  </sheetData>
  <pageMargins left="0.7" right="0.7" top="0.75" bottom="0.75" header="0.3" footer="0.3"/>
  <pageSetup orientation="portrait" r:id="rId1"/>
  <ignoredErrors>
    <ignoredError sqref="G1:XFD6 A7:XFD1048576" calculatedColumn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9CD8-AA23-44ED-819D-896202E034BF}">
  <dimension ref="A1:D24"/>
  <sheetViews>
    <sheetView workbookViewId="0">
      <selection sqref="A1:B1"/>
    </sheetView>
  </sheetViews>
  <sheetFormatPr defaultRowHeight="15" x14ac:dyDescent="0.25"/>
  <cols>
    <col min="1" max="1" width="28.140625" bestFit="1" customWidth="1"/>
    <col min="2" max="2" width="65.140625" bestFit="1" customWidth="1"/>
    <col min="3" max="3" width="28.85546875" bestFit="1" customWidth="1"/>
    <col min="4" max="4" width="130.85546875" bestFit="1" customWidth="1"/>
  </cols>
  <sheetData>
    <row r="1" spans="1:4" ht="18.75" x14ac:dyDescent="0.25">
      <c r="A1" s="4" t="s">
        <v>108</v>
      </c>
      <c r="B1" s="4"/>
      <c r="C1" s="4"/>
      <c r="D1" s="4"/>
    </row>
    <row r="2" spans="1:4" x14ac:dyDescent="0.25">
      <c r="A2" t="s">
        <v>109</v>
      </c>
      <c r="B2" t="s">
        <v>110</v>
      </c>
      <c r="C2" t="s">
        <v>111</v>
      </c>
      <c r="D2" t="s">
        <v>112</v>
      </c>
    </row>
    <row r="3" spans="1:4" x14ac:dyDescent="0.25">
      <c r="A3" t="s">
        <v>113</v>
      </c>
      <c r="B3" t="s">
        <v>114</v>
      </c>
      <c r="C3" t="s">
        <v>25</v>
      </c>
      <c r="D3" t="s">
        <v>115</v>
      </c>
    </row>
    <row r="4" spans="1:4" x14ac:dyDescent="0.25">
      <c r="A4" t="s">
        <v>116</v>
      </c>
      <c r="B4" t="s">
        <v>117</v>
      </c>
      <c r="C4" t="s">
        <v>25</v>
      </c>
      <c r="D4" t="s">
        <v>118</v>
      </c>
    </row>
    <row r="5" spans="1:4" x14ac:dyDescent="0.25">
      <c r="A5" t="s">
        <v>119</v>
      </c>
      <c r="B5" t="s">
        <v>120</v>
      </c>
      <c r="C5" t="s">
        <v>25</v>
      </c>
      <c r="D5" t="s">
        <v>121</v>
      </c>
    </row>
    <row r="6" spans="1:4" x14ac:dyDescent="0.25">
      <c r="A6" t="s">
        <v>122</v>
      </c>
      <c r="B6" t="s">
        <v>123</v>
      </c>
      <c r="C6" t="s">
        <v>25</v>
      </c>
      <c r="D6" t="s">
        <v>124</v>
      </c>
    </row>
    <row r="7" spans="1:4" x14ac:dyDescent="0.25">
      <c r="A7" t="s">
        <v>125</v>
      </c>
      <c r="B7" t="s">
        <v>126</v>
      </c>
      <c r="C7" t="s">
        <v>24</v>
      </c>
      <c r="D7" t="s">
        <v>127</v>
      </c>
    </row>
    <row r="8" spans="1:4" x14ac:dyDescent="0.25">
      <c r="A8" t="s">
        <v>128</v>
      </c>
      <c r="B8" t="s">
        <v>129</v>
      </c>
      <c r="C8" t="s">
        <v>22</v>
      </c>
      <c r="D8" t="s">
        <v>130</v>
      </c>
    </row>
    <row r="9" spans="1:4" x14ac:dyDescent="0.25">
      <c r="A9" t="s">
        <v>131</v>
      </c>
      <c r="B9" t="s">
        <v>132</v>
      </c>
      <c r="C9" t="s">
        <v>133</v>
      </c>
      <c r="D9" t="s">
        <v>134</v>
      </c>
    </row>
    <row r="10" spans="1:4" x14ac:dyDescent="0.25">
      <c r="A10" t="s">
        <v>135</v>
      </c>
      <c r="B10" t="s">
        <v>136</v>
      </c>
      <c r="C10" t="s">
        <v>22</v>
      </c>
      <c r="D10" t="s">
        <v>137</v>
      </c>
    </row>
    <row r="11" spans="1:4" x14ac:dyDescent="0.25">
      <c r="A11" t="s">
        <v>138</v>
      </c>
      <c r="B11" t="s">
        <v>139</v>
      </c>
      <c r="C11" t="s">
        <v>22</v>
      </c>
      <c r="D11" t="s">
        <v>140</v>
      </c>
    </row>
    <row r="12" spans="1:4" x14ac:dyDescent="0.25">
      <c r="A12" t="s">
        <v>141</v>
      </c>
      <c r="B12" t="s">
        <v>142</v>
      </c>
      <c r="C12" t="s">
        <v>22</v>
      </c>
      <c r="D12" t="s">
        <v>143</v>
      </c>
    </row>
    <row r="13" spans="1:4" x14ac:dyDescent="0.25">
      <c r="A13" t="s">
        <v>144</v>
      </c>
      <c r="B13" t="s">
        <v>145</v>
      </c>
      <c r="C13" t="s">
        <v>24</v>
      </c>
      <c r="D13" t="s">
        <v>146</v>
      </c>
    </row>
    <row r="14" spans="1:4" x14ac:dyDescent="0.25">
      <c r="A14" t="s">
        <v>147</v>
      </c>
      <c r="B14" t="s">
        <v>148</v>
      </c>
      <c r="C14" t="s">
        <v>25</v>
      </c>
      <c r="D14" t="s">
        <v>149</v>
      </c>
    </row>
    <row r="15" spans="1:4" x14ac:dyDescent="0.25">
      <c r="A15" t="s">
        <v>150</v>
      </c>
      <c r="B15" t="s">
        <v>151</v>
      </c>
      <c r="C15" t="s">
        <v>152</v>
      </c>
      <c r="D15" t="s">
        <v>153</v>
      </c>
    </row>
    <row r="16" spans="1:4" x14ac:dyDescent="0.25">
      <c r="A16" t="s">
        <v>154</v>
      </c>
      <c r="B16" t="s">
        <v>155</v>
      </c>
      <c r="C16" t="s">
        <v>24</v>
      </c>
      <c r="D16" t="s">
        <v>156</v>
      </c>
    </row>
    <row r="17" spans="1:4" x14ac:dyDescent="0.25">
      <c r="A17" t="s">
        <v>157</v>
      </c>
      <c r="B17" t="s">
        <v>158</v>
      </c>
      <c r="C17" t="s">
        <v>25</v>
      </c>
      <c r="D17" t="s">
        <v>159</v>
      </c>
    </row>
    <row r="18" spans="1:4" x14ac:dyDescent="0.25">
      <c r="A18" t="s">
        <v>160</v>
      </c>
      <c r="B18" t="s">
        <v>161</v>
      </c>
      <c r="C18" t="s">
        <v>21</v>
      </c>
      <c r="D18" t="s">
        <v>162</v>
      </c>
    </row>
    <row r="19" spans="1:4" x14ac:dyDescent="0.25">
      <c r="A19" t="s">
        <v>163</v>
      </c>
      <c r="B19" t="s">
        <v>164</v>
      </c>
      <c r="C19" t="s">
        <v>21</v>
      </c>
      <c r="D19" t="s">
        <v>165</v>
      </c>
    </row>
    <row r="20" spans="1:4" x14ac:dyDescent="0.25">
      <c r="A20" t="s">
        <v>166</v>
      </c>
      <c r="B20" t="s">
        <v>167</v>
      </c>
      <c r="C20" t="s">
        <v>23</v>
      </c>
      <c r="D20" t="s">
        <v>168</v>
      </c>
    </row>
    <row r="21" spans="1:4" x14ac:dyDescent="0.25">
      <c r="A21" t="s">
        <v>169</v>
      </c>
      <c r="B21" t="s">
        <v>170</v>
      </c>
      <c r="C21" t="s">
        <v>23</v>
      </c>
      <c r="D21" t="s">
        <v>171</v>
      </c>
    </row>
    <row r="22" spans="1:4" x14ac:dyDescent="0.25">
      <c r="A22" t="s">
        <v>172</v>
      </c>
      <c r="B22" t="s">
        <v>173</v>
      </c>
      <c r="C22" t="s">
        <v>23</v>
      </c>
      <c r="D22" t="s">
        <v>174</v>
      </c>
    </row>
    <row r="23" spans="1:4" x14ac:dyDescent="0.25">
      <c r="A23" t="s">
        <v>175</v>
      </c>
      <c r="B23" t="s">
        <v>176</v>
      </c>
      <c r="C23" t="s">
        <v>152</v>
      </c>
      <c r="D23" t="s">
        <v>177</v>
      </c>
    </row>
    <row r="24" spans="1:4" x14ac:dyDescent="0.25">
      <c r="A24" t="s">
        <v>178</v>
      </c>
      <c r="B24" t="s">
        <v>179</v>
      </c>
      <c r="C24" t="s">
        <v>180</v>
      </c>
      <c r="D24" t="s">
        <v>181</v>
      </c>
    </row>
  </sheetData>
  <mergeCells count="2">
    <mergeCell ref="A1:B1"/>
    <mergeCell ref="C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Business_Questions</vt:lpstr>
      <vt:lpstr>Project_Overview</vt:lpstr>
      <vt:lpstr>Data_Inventory</vt:lpstr>
      <vt:lpstr>Issue_Log</vt:lpstr>
      <vt:lpstr>Metric_Definations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</dc:creator>
  <cp:lastModifiedBy>SGR .</cp:lastModifiedBy>
  <dcterms:created xsi:type="dcterms:W3CDTF">2015-06-05T18:17:20Z</dcterms:created>
  <dcterms:modified xsi:type="dcterms:W3CDTF">2026-10-17T12:00:34Z</dcterms:modified>
</cp:coreProperties>
</file>